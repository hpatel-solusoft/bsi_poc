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D:\Solusoft\AI\BSI-Agentic-Semantic\bsi_poc\documents\"/>
    </mc:Choice>
  </mc:AlternateContent>
  <xr:revisionPtr revIDLastSave="0" documentId="13_ncr:1_{65100B77-9220-494B-A614-5783E25A8A66}" xr6:coauthVersionLast="47" xr6:coauthVersionMax="47" xr10:uidLastSave="{00000000-0000-0000-0000-000000000000}"/>
  <bookViews>
    <workbookView xWindow="-108" yWindow="-108" windowWidth="30936" windowHeight="16776" xr2:uid="{00000000-000D-0000-FFFF-FFFF00000000}"/>
  </bookViews>
  <sheets>
    <sheet name="Sheet1" sheetId="1" r:id="rId1"/>
    <sheet name="f3_case_retrieval_services.py" sheetId="9" r:id="rId2"/>
    <sheet name="webhook.py" sheetId="8" r:id="rId3"/>
    <sheet name="semantic_model.py" sheetId="7" r:id="rId4"/>
    <sheet name="f4_risk_services.py" sheetId="6" r:id="rId5"/>
    <sheet name="appwork_services.py" sheetId="3" r:id="rId6"/>
    <sheet name="agent_runner.py" sheetId="2" r:id="rId7"/>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15" i="1" l="1"/>
  <c r="A16" i="1"/>
  <c r="A13" i="1"/>
  <c r="A14" i="1"/>
  <c r="A12" i="1"/>
  <c r="A11" i="1"/>
  <c r="A10" i="1"/>
  <c r="A8" i="1"/>
  <c r="A9" i="1" s="1"/>
  <c r="A7" i="1"/>
  <c r="A4" i="1"/>
  <c r="A5" i="1" s="1"/>
  <c r="A6" i="1" s="1"/>
</calcChain>
</file>

<file path=xl/sharedStrings.xml><?xml version="1.0" encoding="utf-8"?>
<sst xmlns="http://schemas.openxmlformats.org/spreadsheetml/2006/main" count="47" uniqueCount="39">
  <si>
    <t>File</t>
  </si>
  <si>
    <t>Issue #</t>
  </si>
  <si>
    <t>Description</t>
  </si>
  <si>
    <t>agent_runner.py</t>
  </si>
  <si>
    <t>_summarise_result() has 7 hardcoded if tool_name == branches — violates manifest-as-single-source-of-truth principle</t>
  </si>
  <si>
    <t>appworks_services.py</t>
  </si>
  <si>
    <t>webhook.py</t>
  </si>
  <si>
    <t>semantic_model.py</t>
  </si>
  <si>
    <t>f3_case_retrieval_services.py</t>
  </si>
  <si>
    <t>To be revisited later</t>
  </si>
  <si>
    <t>_validate does the validation against the semantic model but returns the entire appwork response envelope in try block not validated_data</t>
  </si>
  <si>
    <t>Referenced Screenshots</t>
  </si>
  <si>
    <t>_extract_rules_from_messages has hardcoded check for toolname "get_risk_rules" by name.  if tool is renamed, calculate_risk_metrics silently receives no active_rules and falls back to spec defaults with no error.  Review the screenshot given in the referenced sheet</t>
  </si>
  <si>
    <t>same issue as issue# 2 but the hardcoded tool name is "verify_case_intake"</t>
  </si>
  <si>
    <t xml:space="preserve">hard coded parameter injection for "search_similar_cases" and "calculate_risk_metrics" </t>
  </si>
  <si>
    <t>appwork_services.py!A1</t>
  </si>
  <si>
    <t>f4_risk_services.py</t>
  </si>
  <si>
    <t>calculate_risk_metrics calls get_risk_rules directly as a Python function when active_rules is None, bypassing all three dispatcher gates . Internal call provenance is never appended to provenance_trail. If certain parameter is not found just reject the call do not inject hardcoded</t>
  </si>
  <si>
    <t>f4_risk_services.py!A1</t>
  </si>
  <si>
    <t>Rework on agent_runner.py entirely.. many places have hardcoded tool check, parameter injection, etc..
Point of the semantic layer is to not inject anything externally. This should be taken care by manifest and LLM. If parameter is not found the call will be rejected will not be injected hardcoded anywhere...
 if tool "get_risk_rules" is renamed, calculate_risk_metrics silently receives no active_rules 
if tool "verify_case_inake" is renamed subsequence tool will receive corrupt data or no data</t>
  </si>
  <si>
    <t xml:space="preserve">_extract_risk_context_from_messages passes three hardcoded tool name strings to _extract_tool_result_by_name: "verify_case_intake", "fetch_subject_history", "search_similar_cases". </t>
  </si>
  <si>
    <t>agent_runner.py!A84</t>
  </si>
  <si>
    <t>agent_runner.py!A50</t>
  </si>
  <si>
    <t>agent_runner.py!A19</t>
  </si>
  <si>
    <t>agent_runner.py!A3</t>
  </si>
  <si>
    <t>SimilarCaseMatch.estimated_loss and financial_calculated both default to 0.0. We do not need estimated_loss. Giving default for financial_calculated 0.0. model cannot have default values. This will be misinterpreation of response</t>
  </si>
  <si>
    <t>semantic_model.py!A3</t>
  </si>
  <si>
    <t>RiskAssessment has default value set to 0 for prior_case_count</t>
  </si>
  <si>
    <t>semantic_model.py!A23</t>
  </si>
  <si>
    <t>some of the appwork fields like financial does not have  Pydantic type validation at all. All are returned with model_config = {"extra": "allow"} config and this is completely breaking low of entity model validation if all extras are allowed.</t>
  </si>
  <si>
    <t>all model blcok in semantic_model.py</t>
  </si>
  <si>
    <t>webhook.py!A3</t>
  </si>
  <si>
    <t>/copilot needs to verify the CS-4 storage and retrieval.</t>
  </si>
  <si>
    <t>calculate_risk_metrics calls get_risk_rules directly as a Python function when active_rules is None, bypassing all three dispatcher gates . Internal call provenance is never appended to provenance_trail. If certain parameter is not found just reject the c</t>
  </si>
  <si>
    <t>webhook.py!A30</t>
  </si>
  <si>
    <t>f3_case_retrieval_services.py!A1</t>
  </si>
  <si>
    <t>outcome field hardcoded as "Subject history — allegation type match" and "Allegation type match (broad candidate)"</t>
  </si>
  <si>
    <t>financial_calculated is default to 0.0 in search result</t>
  </si>
  <si>
    <t>f3_case_retrieval_services.py!A24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</si>
</sst>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1"/>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sz val="11"/>
      <name val="Calibri"/>
      <family val="2"/>
      <scheme val="minor"/>
    </font>
  </fonts>
  <fills count="6">
    <fill>
      <patternFill patternType="none"/>
    </fill>
    <fill>
      <patternFill patternType="gray125"/>
    </fill>
    <fill>
      <patternFill patternType="solid">
        <fgColor rgb="FFFFC7CE"/>
      </patternFill>
    </fill>
    <fill>
      <patternFill patternType="solid">
        <fgColor rgb="FFFFEB9C"/>
      </patternFill>
    </fill>
    <fill>
      <patternFill patternType="solid">
        <fgColor rgb="FFFFCC99"/>
      </patternFill>
    </fill>
    <fill>
      <patternFill patternType="solid">
        <fgColor theme="5" tint="0.59999389629810485"/>
        <bgColor indexed="65"/>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2" fillId="2" borderId="0" applyNumberFormat="0" applyBorder="0" applyAlignment="0" applyProtection="0"/>
    <xf numFmtId="0" fontId="3" fillId="3" borderId="0" applyNumberFormat="0" applyBorder="0" applyAlignment="0" applyProtection="0"/>
    <xf numFmtId="0" fontId="4" fillId="4" borderId="1" applyNumberFormat="0" applyAlignment="0" applyProtection="0"/>
    <xf numFmtId="0" fontId="1" fillId="5" borderId="0" applyNumberFormat="0" applyBorder="0" applyAlignment="0" applyProtection="0"/>
    <xf numFmtId="0" fontId="7" fillId="0" borderId="0" applyNumberFormat="0" applyFill="0" applyBorder="0" applyAlignment="0" applyProtection="0"/>
  </cellStyleXfs>
  <cellXfs count="16">
    <xf numFmtId="0" fontId="0" fillId="0" borderId="0" xfId="0"/>
    <xf numFmtId="0" fontId="6" fillId="0" borderId="0" xfId="0" applyFont="1" applyAlignment="1">
      <alignment horizontal="center" vertical="center" wrapText="1"/>
    </xf>
    <xf numFmtId="0" fontId="0" fillId="0" borderId="0" xfId="0" applyAlignment="1">
      <alignment wrapText="1"/>
    </xf>
    <xf numFmtId="0" fontId="3" fillId="3" borderId="1" xfId="2" applyBorder="1" applyAlignment="1">
      <alignment wrapText="1"/>
    </xf>
    <xf numFmtId="0" fontId="5" fillId="0" borderId="0" xfId="0" applyFont="1" applyAlignment="1">
      <alignment horizontal="left" wrapText="1"/>
    </xf>
    <xf numFmtId="0" fontId="0" fillId="0" borderId="2" xfId="0" applyBorder="1" applyAlignment="1">
      <alignment vertical="center" wrapText="1"/>
    </xf>
    <xf numFmtId="0" fontId="3" fillId="3" borderId="2" xfId="2" applyBorder="1" applyAlignment="1">
      <alignment vertical="center" wrapText="1"/>
    </xf>
    <xf numFmtId="0" fontId="0" fillId="0" borderId="2" xfId="0" applyBorder="1"/>
    <xf numFmtId="0" fontId="2" fillId="2" borderId="2" xfId="1" applyBorder="1" applyAlignment="1">
      <alignment vertical="center" wrapText="1"/>
    </xf>
    <xf numFmtId="0" fontId="7" fillId="0" borderId="2" xfId="5" applyBorder="1"/>
    <xf numFmtId="0" fontId="1" fillId="5" borderId="2" xfId="4" applyBorder="1" applyAlignment="1">
      <alignment vertical="center" wrapText="1"/>
    </xf>
    <xf numFmtId="0" fontId="0" fillId="0" borderId="2" xfId="0" applyBorder="1" applyAlignment="1">
      <alignment vertical="center"/>
    </xf>
    <xf numFmtId="0" fontId="1" fillId="5" borderId="2" xfId="4" applyBorder="1" applyAlignment="1">
      <alignment wrapText="1"/>
    </xf>
    <xf numFmtId="0" fontId="2" fillId="2" borderId="2" xfId="1" applyBorder="1" applyAlignment="1">
      <alignment wrapText="1"/>
    </xf>
    <xf numFmtId="0" fontId="8" fillId="0" borderId="2" xfId="5" applyFont="1" applyBorder="1"/>
    <xf numFmtId="0" fontId="4" fillId="4" borderId="2" xfId="3" applyBorder="1" applyAlignment="1">
      <alignment vertical="center" wrapText="1"/>
    </xf>
  </cellXfs>
  <cellStyles count="6">
    <cellStyle name="40% - Accent2" xfId="4" builtinId="35"/>
    <cellStyle name="Bad" xfId="1" builtinId="27"/>
    <cellStyle name="Hyperlink" xfId="5" builtinId="8"/>
    <cellStyle name="Input" xfId="3" builtinId="20"/>
    <cellStyle name="Neutral"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4"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503703</xdr:colOff>
      <xdr:row>19</xdr:row>
      <xdr:rowOff>167956</xdr:rowOff>
    </xdr:to>
    <xdr:pic>
      <xdr:nvPicPr>
        <xdr:cNvPr id="2" name="Picture 1">
          <a:extLst>
            <a:ext uri="{FF2B5EF4-FFF2-40B4-BE49-F238E27FC236}">
              <a16:creationId xmlns:a16="http://schemas.microsoft.com/office/drawing/2014/main" id="{A6ACFA5E-F1C2-B583-656A-4CCF13BCA864}"/>
            </a:ext>
          </a:extLst>
        </xdr:cNvPr>
        <xdr:cNvPicPr>
          <a:picLocks noChangeAspect="1"/>
        </xdr:cNvPicPr>
      </xdr:nvPicPr>
      <xdr:blipFill>
        <a:blip xmlns:r="http://schemas.openxmlformats.org/officeDocument/2006/relationships" r:embed="rId1"/>
        <a:stretch>
          <a:fillRect/>
        </a:stretch>
      </xdr:blipFill>
      <xdr:spPr>
        <a:xfrm>
          <a:off x="0" y="0"/>
          <a:ext cx="9038103" cy="3642676"/>
        </a:xfrm>
        <a:prstGeom prst="rect">
          <a:avLst/>
        </a:prstGeom>
      </xdr:spPr>
    </xdr:pic>
    <xdr:clientData/>
  </xdr:twoCellAnchor>
  <xdr:twoCellAnchor editAs="oneCell">
    <xdr:from>
      <xdr:col>0</xdr:col>
      <xdr:colOff>0</xdr:colOff>
      <xdr:row>23</xdr:row>
      <xdr:rowOff>0</xdr:rowOff>
    </xdr:from>
    <xdr:to>
      <xdr:col>11</xdr:col>
      <xdr:colOff>556889</xdr:colOff>
      <xdr:row>37</xdr:row>
      <xdr:rowOff>137394</xdr:rowOff>
    </xdr:to>
    <xdr:pic>
      <xdr:nvPicPr>
        <xdr:cNvPr id="3" name="Picture 2">
          <a:extLst>
            <a:ext uri="{FF2B5EF4-FFF2-40B4-BE49-F238E27FC236}">
              <a16:creationId xmlns:a16="http://schemas.microsoft.com/office/drawing/2014/main" id="{28EF4958-F097-B6A8-B21C-5E2E1B8B9227}"/>
            </a:ext>
          </a:extLst>
        </xdr:cNvPr>
        <xdr:cNvPicPr>
          <a:picLocks noChangeAspect="1"/>
        </xdr:cNvPicPr>
      </xdr:nvPicPr>
      <xdr:blipFill>
        <a:blip xmlns:r="http://schemas.openxmlformats.org/officeDocument/2006/relationships" r:embed="rId2"/>
        <a:stretch>
          <a:fillRect/>
        </a:stretch>
      </xdr:blipFill>
      <xdr:spPr>
        <a:xfrm>
          <a:off x="0" y="4206240"/>
          <a:ext cx="7262489" cy="269771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19</xdr:col>
      <xdr:colOff>412467</xdr:colOff>
      <xdr:row>22</xdr:row>
      <xdr:rowOff>91749</xdr:rowOff>
    </xdr:to>
    <xdr:pic>
      <xdr:nvPicPr>
        <xdr:cNvPr id="2" name="Picture 1">
          <a:extLst>
            <a:ext uri="{FF2B5EF4-FFF2-40B4-BE49-F238E27FC236}">
              <a16:creationId xmlns:a16="http://schemas.microsoft.com/office/drawing/2014/main" id="{830EC8DA-3C5B-66A4-D3CC-608CE6A129F3}"/>
            </a:ext>
          </a:extLst>
        </xdr:cNvPr>
        <xdr:cNvPicPr>
          <a:picLocks noChangeAspect="1"/>
        </xdr:cNvPicPr>
      </xdr:nvPicPr>
      <xdr:blipFill>
        <a:blip xmlns:r="http://schemas.openxmlformats.org/officeDocument/2006/relationships" r:embed="rId1"/>
        <a:stretch>
          <a:fillRect/>
        </a:stretch>
      </xdr:blipFill>
      <xdr:spPr>
        <a:xfrm>
          <a:off x="609600" y="548640"/>
          <a:ext cx="11385267" cy="3566469"/>
        </a:xfrm>
        <a:prstGeom prst="rect">
          <a:avLst/>
        </a:prstGeom>
      </xdr:spPr>
    </xdr:pic>
    <xdr:clientData/>
  </xdr:twoCellAnchor>
  <xdr:twoCellAnchor editAs="oneCell">
    <xdr:from>
      <xdr:col>1</xdr:col>
      <xdr:colOff>0</xdr:colOff>
      <xdr:row>27</xdr:row>
      <xdr:rowOff>0</xdr:rowOff>
    </xdr:from>
    <xdr:to>
      <xdr:col>17</xdr:col>
      <xdr:colOff>221844</xdr:colOff>
      <xdr:row>61</xdr:row>
      <xdr:rowOff>137711</xdr:rowOff>
    </xdr:to>
    <xdr:pic>
      <xdr:nvPicPr>
        <xdr:cNvPr id="3" name="Picture 2">
          <a:extLst>
            <a:ext uri="{FF2B5EF4-FFF2-40B4-BE49-F238E27FC236}">
              <a16:creationId xmlns:a16="http://schemas.microsoft.com/office/drawing/2014/main" id="{AB7638B9-8359-EA62-5FDA-D23A00250309}"/>
            </a:ext>
          </a:extLst>
        </xdr:cNvPr>
        <xdr:cNvPicPr>
          <a:picLocks noChangeAspect="1"/>
        </xdr:cNvPicPr>
      </xdr:nvPicPr>
      <xdr:blipFill>
        <a:blip xmlns:r="http://schemas.openxmlformats.org/officeDocument/2006/relationships" r:embed="rId2"/>
        <a:stretch>
          <a:fillRect/>
        </a:stretch>
      </xdr:blipFill>
      <xdr:spPr>
        <a:xfrm>
          <a:off x="609600" y="4937760"/>
          <a:ext cx="9975444" cy="635563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15</xdr:col>
      <xdr:colOff>261886</xdr:colOff>
      <xdr:row>20</xdr:row>
      <xdr:rowOff>46661</xdr:rowOff>
    </xdr:to>
    <xdr:pic>
      <xdr:nvPicPr>
        <xdr:cNvPr id="2" name="Picture 1">
          <a:extLst>
            <a:ext uri="{FF2B5EF4-FFF2-40B4-BE49-F238E27FC236}">
              <a16:creationId xmlns:a16="http://schemas.microsoft.com/office/drawing/2014/main" id="{EA5AE2EA-AD66-A951-5E57-66F012F12740}"/>
            </a:ext>
          </a:extLst>
        </xdr:cNvPr>
        <xdr:cNvPicPr>
          <a:picLocks noChangeAspect="1"/>
        </xdr:cNvPicPr>
      </xdr:nvPicPr>
      <xdr:blipFill>
        <a:blip xmlns:r="http://schemas.openxmlformats.org/officeDocument/2006/relationships" r:embed="rId1"/>
        <a:stretch>
          <a:fillRect/>
        </a:stretch>
      </xdr:blipFill>
      <xdr:spPr>
        <a:xfrm>
          <a:off x="0" y="548640"/>
          <a:ext cx="9405886" cy="3155621"/>
        </a:xfrm>
        <a:prstGeom prst="rect">
          <a:avLst/>
        </a:prstGeom>
      </xdr:spPr>
    </xdr:pic>
    <xdr:clientData/>
  </xdr:twoCellAnchor>
  <xdr:twoCellAnchor editAs="oneCell">
    <xdr:from>
      <xdr:col>0</xdr:col>
      <xdr:colOff>0</xdr:colOff>
      <xdr:row>23</xdr:row>
      <xdr:rowOff>0</xdr:rowOff>
    </xdr:from>
    <xdr:to>
      <xdr:col>15</xdr:col>
      <xdr:colOff>69378</xdr:colOff>
      <xdr:row>43</xdr:row>
      <xdr:rowOff>30800</xdr:rowOff>
    </xdr:to>
    <xdr:pic>
      <xdr:nvPicPr>
        <xdr:cNvPr id="3" name="Picture 2">
          <a:extLst>
            <a:ext uri="{FF2B5EF4-FFF2-40B4-BE49-F238E27FC236}">
              <a16:creationId xmlns:a16="http://schemas.microsoft.com/office/drawing/2014/main" id="{174145B0-B232-5A42-0FA7-D82ACC7FB9CD}"/>
            </a:ext>
          </a:extLst>
        </xdr:cNvPr>
        <xdr:cNvPicPr>
          <a:picLocks noChangeAspect="1"/>
        </xdr:cNvPicPr>
      </xdr:nvPicPr>
      <xdr:blipFill>
        <a:blip xmlns:r="http://schemas.openxmlformats.org/officeDocument/2006/relationships" r:embed="rId2"/>
        <a:stretch>
          <a:fillRect/>
        </a:stretch>
      </xdr:blipFill>
      <xdr:spPr>
        <a:xfrm>
          <a:off x="0" y="4206240"/>
          <a:ext cx="9213378" cy="36884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16</xdr:col>
      <xdr:colOff>252327</xdr:colOff>
      <xdr:row>23</xdr:row>
      <xdr:rowOff>7953</xdr:rowOff>
    </xdr:to>
    <xdr:pic>
      <xdr:nvPicPr>
        <xdr:cNvPr id="2" name="Picture 1">
          <a:extLst>
            <a:ext uri="{FF2B5EF4-FFF2-40B4-BE49-F238E27FC236}">
              <a16:creationId xmlns:a16="http://schemas.microsoft.com/office/drawing/2014/main" id="{96DEDDC5-7E6A-42E8-0D60-4159266AB3B9}"/>
            </a:ext>
          </a:extLst>
        </xdr:cNvPr>
        <xdr:cNvPicPr>
          <a:picLocks noChangeAspect="1"/>
        </xdr:cNvPicPr>
      </xdr:nvPicPr>
      <xdr:blipFill>
        <a:blip xmlns:r="http://schemas.openxmlformats.org/officeDocument/2006/relationships" r:embed="rId1"/>
        <a:stretch>
          <a:fillRect/>
        </a:stretch>
      </xdr:blipFill>
      <xdr:spPr>
        <a:xfrm>
          <a:off x="0" y="365760"/>
          <a:ext cx="10005927" cy="384843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20</xdr:col>
      <xdr:colOff>190500</xdr:colOff>
      <xdr:row>35</xdr:row>
      <xdr:rowOff>160020</xdr:rowOff>
    </xdr:to>
    <xdr:pic>
      <xdr:nvPicPr>
        <xdr:cNvPr id="2" name="Picture 1">
          <a:extLst>
            <a:ext uri="{FF2B5EF4-FFF2-40B4-BE49-F238E27FC236}">
              <a16:creationId xmlns:a16="http://schemas.microsoft.com/office/drawing/2014/main" id="{43EBC665-121E-A6E8-31DE-9BDBC0A801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365760"/>
          <a:ext cx="11772900" cy="6195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14</xdr:col>
      <xdr:colOff>297893</xdr:colOff>
      <xdr:row>12</xdr:row>
      <xdr:rowOff>137544</xdr:rowOff>
    </xdr:to>
    <xdr:pic>
      <xdr:nvPicPr>
        <xdr:cNvPr id="2" name="Picture 1">
          <a:extLst>
            <a:ext uri="{FF2B5EF4-FFF2-40B4-BE49-F238E27FC236}">
              <a16:creationId xmlns:a16="http://schemas.microsoft.com/office/drawing/2014/main" id="{1C279FD9-1CD2-7CAB-5986-D460A259E4AE}"/>
            </a:ext>
          </a:extLst>
        </xdr:cNvPr>
        <xdr:cNvPicPr>
          <a:picLocks noChangeAspect="1"/>
        </xdr:cNvPicPr>
      </xdr:nvPicPr>
      <xdr:blipFill>
        <a:blip xmlns:r="http://schemas.openxmlformats.org/officeDocument/2006/relationships" r:embed="rId1"/>
        <a:stretch>
          <a:fillRect/>
        </a:stretch>
      </xdr:blipFill>
      <xdr:spPr>
        <a:xfrm>
          <a:off x="609600" y="365760"/>
          <a:ext cx="8222693" cy="4427604"/>
        </a:xfrm>
        <a:prstGeom prst="rect">
          <a:avLst/>
        </a:prstGeom>
      </xdr:spPr>
    </xdr:pic>
    <xdr:clientData/>
  </xdr:twoCellAnchor>
  <xdr:twoCellAnchor editAs="oneCell">
    <xdr:from>
      <xdr:col>1</xdr:col>
      <xdr:colOff>0</xdr:colOff>
      <xdr:row>18</xdr:row>
      <xdr:rowOff>0</xdr:rowOff>
    </xdr:from>
    <xdr:to>
      <xdr:col>14</xdr:col>
      <xdr:colOff>511271</xdr:colOff>
      <xdr:row>42</xdr:row>
      <xdr:rowOff>168035</xdr:rowOff>
    </xdr:to>
    <xdr:pic>
      <xdr:nvPicPr>
        <xdr:cNvPr id="4" name="Picture 3">
          <a:extLst>
            <a:ext uri="{FF2B5EF4-FFF2-40B4-BE49-F238E27FC236}">
              <a16:creationId xmlns:a16="http://schemas.microsoft.com/office/drawing/2014/main" id="{162DA2D3-67E4-7BB5-A4C6-1F2190FB1CB7}"/>
            </a:ext>
          </a:extLst>
        </xdr:cNvPr>
        <xdr:cNvPicPr>
          <a:picLocks noChangeAspect="1"/>
        </xdr:cNvPicPr>
      </xdr:nvPicPr>
      <xdr:blipFill>
        <a:blip xmlns:r="http://schemas.openxmlformats.org/officeDocument/2006/relationships" r:embed="rId2"/>
        <a:stretch>
          <a:fillRect/>
        </a:stretch>
      </xdr:blipFill>
      <xdr:spPr>
        <a:xfrm>
          <a:off x="609600" y="5699760"/>
          <a:ext cx="8436071" cy="4557155"/>
        </a:xfrm>
        <a:prstGeom prst="rect">
          <a:avLst/>
        </a:prstGeom>
      </xdr:spPr>
    </xdr:pic>
    <xdr:clientData/>
  </xdr:twoCellAnchor>
  <xdr:twoCellAnchor editAs="oneCell">
    <xdr:from>
      <xdr:col>1</xdr:col>
      <xdr:colOff>0</xdr:colOff>
      <xdr:row>48</xdr:row>
      <xdr:rowOff>1</xdr:rowOff>
    </xdr:from>
    <xdr:to>
      <xdr:col>15</xdr:col>
      <xdr:colOff>230441</xdr:colOff>
      <xdr:row>78</xdr:row>
      <xdr:rowOff>53340</xdr:rowOff>
    </xdr:to>
    <xdr:pic>
      <xdr:nvPicPr>
        <xdr:cNvPr id="6" name="Picture 5">
          <a:extLst>
            <a:ext uri="{FF2B5EF4-FFF2-40B4-BE49-F238E27FC236}">
              <a16:creationId xmlns:a16="http://schemas.microsoft.com/office/drawing/2014/main" id="{F26F06D6-BD81-3AE8-AB2B-F49837FEC394}"/>
            </a:ext>
          </a:extLst>
        </xdr:cNvPr>
        <xdr:cNvPicPr>
          <a:picLocks noChangeAspect="1"/>
        </xdr:cNvPicPr>
      </xdr:nvPicPr>
      <xdr:blipFill>
        <a:blip xmlns:r="http://schemas.openxmlformats.org/officeDocument/2006/relationships" r:embed="rId3"/>
        <a:stretch>
          <a:fillRect/>
        </a:stretch>
      </xdr:blipFill>
      <xdr:spPr>
        <a:xfrm>
          <a:off x="609600" y="12275821"/>
          <a:ext cx="8764841" cy="5539739"/>
        </a:xfrm>
        <a:prstGeom prst="rect">
          <a:avLst/>
        </a:prstGeom>
      </xdr:spPr>
    </xdr:pic>
    <xdr:clientData/>
  </xdr:twoCellAnchor>
  <xdr:twoCellAnchor editAs="oneCell">
    <xdr:from>
      <xdr:col>1</xdr:col>
      <xdr:colOff>0</xdr:colOff>
      <xdr:row>82</xdr:row>
      <xdr:rowOff>0</xdr:rowOff>
    </xdr:from>
    <xdr:to>
      <xdr:col>17</xdr:col>
      <xdr:colOff>450464</xdr:colOff>
      <xdr:row>111</xdr:row>
      <xdr:rowOff>15701</xdr:rowOff>
    </xdr:to>
    <xdr:pic>
      <xdr:nvPicPr>
        <xdr:cNvPr id="7" name="Picture 6">
          <a:extLst>
            <a:ext uri="{FF2B5EF4-FFF2-40B4-BE49-F238E27FC236}">
              <a16:creationId xmlns:a16="http://schemas.microsoft.com/office/drawing/2014/main" id="{3FF09672-8F20-B45D-199C-C33FA9E1E914}"/>
            </a:ext>
          </a:extLst>
        </xdr:cNvPr>
        <xdr:cNvPicPr>
          <a:picLocks noChangeAspect="1"/>
        </xdr:cNvPicPr>
      </xdr:nvPicPr>
      <xdr:blipFill>
        <a:blip xmlns:r="http://schemas.openxmlformats.org/officeDocument/2006/relationships" r:embed="rId4"/>
        <a:stretch>
          <a:fillRect/>
        </a:stretch>
      </xdr:blipFill>
      <xdr:spPr>
        <a:xfrm>
          <a:off x="609600" y="18493740"/>
          <a:ext cx="10204064" cy="531922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6"/>
  <sheetViews>
    <sheetView tabSelected="1" workbookViewId="0">
      <selection activeCell="A3" sqref="A3:D16"/>
    </sheetView>
  </sheetViews>
  <sheetFormatPr defaultRowHeight="14.4" x14ac:dyDescent="0.3"/>
  <cols>
    <col min="2" max="2" width="32.33203125" customWidth="1"/>
    <col min="3" max="3" width="47.44140625" style="2" customWidth="1"/>
    <col min="4" max="4" width="70.77734375" customWidth="1"/>
    <col min="17" max="17" width="45.77734375" customWidth="1"/>
    <col min="22" max="22" width="8.88671875" customWidth="1"/>
  </cols>
  <sheetData>
    <row r="1" spans="1:17" x14ac:dyDescent="0.3">
      <c r="A1" s="1" t="s">
        <v>1</v>
      </c>
      <c r="B1" s="1" t="s">
        <v>0</v>
      </c>
      <c r="C1" s="1" t="s">
        <v>2</v>
      </c>
      <c r="D1" s="1" t="s">
        <v>11</v>
      </c>
    </row>
    <row r="3" spans="1:17" ht="43.2" x14ac:dyDescent="0.3">
      <c r="A3" s="5">
        <v>1</v>
      </c>
      <c r="B3" s="5" t="s">
        <v>3</v>
      </c>
      <c r="C3" s="6" t="s">
        <v>4</v>
      </c>
      <c r="D3" s="7"/>
      <c r="Q3" s="3" t="s">
        <v>9</v>
      </c>
    </row>
    <row r="4" spans="1:17" ht="86.4" x14ac:dyDescent="0.3">
      <c r="A4" s="5">
        <f>A3+1</f>
        <v>2</v>
      </c>
      <c r="B4" s="5" t="s">
        <v>3</v>
      </c>
      <c r="C4" s="8" t="s">
        <v>12</v>
      </c>
      <c r="D4" s="9" t="s">
        <v>24</v>
      </c>
    </row>
    <row r="5" spans="1:17" ht="28.8" x14ac:dyDescent="0.3">
      <c r="A5" s="5">
        <f t="shared" ref="A5:A16" si="0">A4+1</f>
        <v>3</v>
      </c>
      <c r="B5" s="5" t="s">
        <v>3</v>
      </c>
      <c r="C5" s="8" t="s">
        <v>13</v>
      </c>
      <c r="D5" s="9" t="s">
        <v>23</v>
      </c>
    </row>
    <row r="6" spans="1:17" ht="28.8" x14ac:dyDescent="0.3">
      <c r="A6" s="5">
        <f t="shared" si="0"/>
        <v>4</v>
      </c>
      <c r="B6" s="5" t="s">
        <v>3</v>
      </c>
      <c r="C6" s="8" t="s">
        <v>14</v>
      </c>
      <c r="D6" s="9" t="s">
        <v>22</v>
      </c>
    </row>
    <row r="7" spans="1:17" ht="57.6" x14ac:dyDescent="0.3">
      <c r="A7" s="5">
        <f t="shared" si="0"/>
        <v>5</v>
      </c>
      <c r="B7" s="5" t="s">
        <v>3</v>
      </c>
      <c r="C7" s="8" t="s">
        <v>20</v>
      </c>
      <c r="D7" s="9" t="s">
        <v>21</v>
      </c>
    </row>
    <row r="8" spans="1:17" ht="43.2" x14ac:dyDescent="0.3">
      <c r="A8" s="5">
        <f t="shared" si="0"/>
        <v>6</v>
      </c>
      <c r="B8" s="5" t="s">
        <v>5</v>
      </c>
      <c r="C8" s="8" t="s">
        <v>10</v>
      </c>
      <c r="D8" s="9" t="s">
        <v>15</v>
      </c>
    </row>
    <row r="9" spans="1:17" x14ac:dyDescent="0.3">
      <c r="A9" s="5">
        <f t="shared" si="0"/>
        <v>7</v>
      </c>
      <c r="B9" s="5" t="s">
        <v>6</v>
      </c>
      <c r="C9" s="10" t="s">
        <v>32</v>
      </c>
      <c r="D9" s="9" t="s">
        <v>34</v>
      </c>
    </row>
    <row r="10" spans="1:17" ht="72" x14ac:dyDescent="0.3">
      <c r="A10" s="5">
        <f t="shared" si="0"/>
        <v>8</v>
      </c>
      <c r="B10" s="5" t="s">
        <v>6</v>
      </c>
      <c r="C10" s="10" t="s">
        <v>33</v>
      </c>
      <c r="D10" s="9" t="s">
        <v>31</v>
      </c>
    </row>
    <row r="11" spans="1:17" ht="72" x14ac:dyDescent="0.3">
      <c r="A11" s="5">
        <f t="shared" si="0"/>
        <v>9</v>
      </c>
      <c r="B11" s="11" t="s">
        <v>7</v>
      </c>
      <c r="C11" s="12" t="s">
        <v>25</v>
      </c>
      <c r="D11" s="9" t="s">
        <v>26</v>
      </c>
    </row>
    <row r="12" spans="1:17" ht="28.8" x14ac:dyDescent="0.3">
      <c r="A12" s="5">
        <f t="shared" si="0"/>
        <v>10</v>
      </c>
      <c r="B12" s="5" t="s">
        <v>7</v>
      </c>
      <c r="C12" s="10" t="s">
        <v>27</v>
      </c>
      <c r="D12" s="9" t="s">
        <v>28</v>
      </c>
    </row>
    <row r="13" spans="1:17" ht="72" x14ac:dyDescent="0.3">
      <c r="A13" s="5">
        <f t="shared" si="0"/>
        <v>11</v>
      </c>
      <c r="B13" s="11" t="s">
        <v>7</v>
      </c>
      <c r="C13" s="13" t="s">
        <v>29</v>
      </c>
      <c r="D13" s="14" t="s">
        <v>30</v>
      </c>
    </row>
    <row r="14" spans="1:17" ht="43.2" x14ac:dyDescent="0.3">
      <c r="A14" s="5">
        <f t="shared" si="0"/>
        <v>12</v>
      </c>
      <c r="B14" s="5" t="s">
        <v>8</v>
      </c>
      <c r="C14" s="15" t="s">
        <v>36</v>
      </c>
      <c r="D14" s="9" t="s">
        <v>35</v>
      </c>
    </row>
    <row r="15" spans="1:17" x14ac:dyDescent="0.3">
      <c r="A15" s="5">
        <f t="shared" si="0"/>
        <v>13</v>
      </c>
      <c r="B15" s="5" t="s">
        <v>8</v>
      </c>
      <c r="C15" s="15" t="s">
        <v>37</v>
      </c>
      <c r="D15" s="9" t="s">
        <v>38</v>
      </c>
    </row>
    <row r="16" spans="1:17" ht="86.4" x14ac:dyDescent="0.3">
      <c r="A16" s="5">
        <f t="shared" si="0"/>
        <v>14</v>
      </c>
      <c r="B16" s="7" t="s">
        <v>16</v>
      </c>
      <c r="C16" s="13" t="s">
        <v>17</v>
      </c>
      <c r="D16" s="9" t="s">
        <v>18</v>
      </c>
    </row>
  </sheetData>
  <hyperlinks>
    <hyperlink ref="D4" location="agent_runner.py!A3" display="agent_runner.py!A3" xr:uid="{74B7AD91-6D23-47FA-9FDF-2302D8FDBB4E}"/>
    <hyperlink ref="D8" location="appwork_services.py!A1" display="appwork_services.py!A1" xr:uid="{156969DD-548C-40A0-B715-CC3CD9659060}"/>
    <hyperlink ref="D16" location="f4_risk_services.py!A1" display="f4_risk_services.py!A1" xr:uid="{F8AB9E19-5387-4E0F-85C4-DD3FD2286591}"/>
    <hyperlink ref="D7" location="agent_runner.py!A84" display="agent_runner.py!A84" xr:uid="{224EAEF3-4574-4002-A05E-238FB5ABDF85}"/>
    <hyperlink ref="D6" location="agent_runner.py!A50" display="agent_runner.py!A50" xr:uid="{72F9DDBD-FCB7-48A2-8FCA-21D7154E9A24}"/>
    <hyperlink ref="D5" location="agent_runner.py!A19" display="agent_runner.py!A19" xr:uid="{EE4CB148-7570-4BD4-A709-2444A8F6AE55}"/>
    <hyperlink ref="D11" location="semantic_model.py!A3" display="semantic_model.py!A3" xr:uid="{CF711536-5099-44C5-8FFC-6D96FC4683CA}"/>
    <hyperlink ref="D12" location="semantic_model.py!A23" display="semantic_model.py!A23" xr:uid="{F9739803-F4B2-4C60-9D58-523F45AD123D}"/>
    <hyperlink ref="D10" location="webhook.py!A3" display="webhook.py!A3" xr:uid="{A42C7819-16CD-4824-9647-AA348C859085}"/>
    <hyperlink ref="D9" location="webhook.py!A30" display="webhook.py!A30" xr:uid="{228B480D-A2BD-4A74-9F1E-14D8AFF4828B}"/>
    <hyperlink ref="D14" location="f3_case_retrieval_services.py!A1" display="f3_case_retrieval_services.py!A1" xr:uid="{70E2B1A4-14FE-4EA8-9C16-5BF56A94B714}"/>
    <hyperlink ref="D15" location="f3_case_retrieval_services.py!A24" display="f3_case_retrieval_services.py!A24" xr:uid="{A2890A5A-195A-4B83-8D48-52BD00C42A1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68A0E-82F5-4218-96E8-5374152BFAE9}">
  <dimension ref="A1"/>
  <sheetViews>
    <sheetView workbookViewId="0">
      <selection activeCell="A24" sqref="A24"/>
    </sheetView>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6BC84-9950-426C-A0B7-D56968442F19}">
  <dimension ref="A1"/>
  <sheetViews>
    <sheetView workbookViewId="0">
      <selection activeCell="A30" sqref="A30"/>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415C8-4455-447F-AF83-1EEF13DFE562}">
  <dimension ref="A1"/>
  <sheetViews>
    <sheetView topLeftCell="A7" workbookViewId="0">
      <selection activeCell="A47" sqref="A47"/>
    </sheetView>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B7256-FD20-48F6-BE8D-03496AED5A37}">
  <dimension ref="A1"/>
  <sheetViews>
    <sheetView workbookViewId="0">
      <selection activeCell="F36" sqref="F36"/>
    </sheetView>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D5464-0F2B-41C3-9CF7-3DC16144EB54}">
  <dimension ref="A1"/>
  <sheetViews>
    <sheetView workbookViewId="0">
      <selection activeCell="B3" sqref="B3"/>
    </sheetView>
  </sheetViews>
  <sheetFormatPr defaultRowHeight="14.4"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B3A44-F922-4CD8-ACAF-5EB94EAAC43A}">
  <dimension ref="T5:Y5"/>
  <sheetViews>
    <sheetView workbookViewId="0">
      <selection activeCell="A19" sqref="A19"/>
    </sheetView>
  </sheetViews>
  <sheetFormatPr defaultRowHeight="14.4" x14ac:dyDescent="0.3"/>
  <sheetData>
    <row r="5" spans="20:25" ht="208.2" customHeight="1" x14ac:dyDescent="0.3">
      <c r="T5" s="4" t="s">
        <v>19</v>
      </c>
      <c r="U5" s="4"/>
      <c r="V5" s="4"/>
      <c r="W5" s="4"/>
      <c r="X5" s="4"/>
      <c r="Y5" s="4"/>
    </row>
  </sheetData>
  <mergeCells count="1">
    <mergeCell ref="T5:Y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f3_case_retrieval_services.py</vt:lpstr>
      <vt:lpstr>webhook.py</vt:lpstr>
      <vt:lpstr>semantic_model.py</vt:lpstr>
      <vt:lpstr>f4_risk_services.py</vt:lpstr>
      <vt:lpstr>appwork_services.py</vt:lpstr>
      <vt:lpstr>agent_runner.py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Himali Patel</dc:creator>
  <cp:lastModifiedBy>Himali Patel</cp:lastModifiedBy>
  <dcterms:created xsi:type="dcterms:W3CDTF">2015-06-05T18:17:20Z</dcterms:created>
  <dcterms:modified xsi:type="dcterms:W3CDTF">2026-05-10T19:48:01Z</dcterms:modified>
</cp:coreProperties>
</file>